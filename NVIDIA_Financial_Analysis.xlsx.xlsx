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93ad933fe4058c/Desktop/Portfolio Projects/Financial Statement Analysis Dashboard/"/>
    </mc:Choice>
  </mc:AlternateContent>
  <xr:revisionPtr revIDLastSave="336" documentId="8_{6C8A5FCA-2F25-4C44-8B05-D4FAC6506487}" xr6:coauthVersionLast="47" xr6:coauthVersionMax="47" xr10:uidLastSave="{4E981564-5E78-42F2-ADBA-3796D83DEB99}"/>
  <bookViews>
    <workbookView xWindow="-108" yWindow="-108" windowWidth="23256" windowHeight="12456" firstSheet="1" activeTab="5" xr2:uid="{831CED9F-124E-4CF1-9D6E-51B8B39CF45F}"/>
  </bookViews>
  <sheets>
    <sheet name="Raw Data" sheetId="1" r:id="rId1"/>
    <sheet name="Income Statement" sheetId="2" r:id="rId2"/>
    <sheet name="Balance Sheet" sheetId="3" r:id="rId3"/>
    <sheet name="Cash Flow" sheetId="4" r:id="rId4"/>
    <sheet name="Ratios" sheetId="5" r:id="rId5"/>
    <sheet name="Dashboard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6" l="1"/>
  <c r="C44" i="6"/>
  <c r="B44" i="6"/>
  <c r="D20" i="6"/>
  <c r="D19" i="6"/>
  <c r="D18" i="6"/>
  <c r="C20" i="6"/>
  <c r="C19" i="6"/>
  <c r="C18" i="6"/>
  <c r="B20" i="6"/>
  <c r="B19" i="6"/>
  <c r="B18" i="6"/>
  <c r="B7" i="5"/>
  <c r="E18" i="6" s="1"/>
  <c r="E20" i="6"/>
  <c r="E19" i="6"/>
  <c r="C14" i="5"/>
  <c r="D14" i="5"/>
  <c r="B14" i="5"/>
  <c r="C13" i="5"/>
  <c r="D13" i="5"/>
  <c r="B13" i="5"/>
  <c r="C38" i="3"/>
  <c r="D38" i="3"/>
  <c r="B38" i="3"/>
  <c r="D37" i="3"/>
  <c r="D12" i="5" s="1"/>
  <c r="C37" i="3"/>
  <c r="C12" i="5"/>
  <c r="B12" i="5"/>
  <c r="B37" i="3"/>
  <c r="C11" i="5"/>
  <c r="D11" i="5"/>
  <c r="B11" i="5"/>
  <c r="D36" i="3"/>
  <c r="C36" i="3"/>
  <c r="B36" i="3"/>
  <c r="C10" i="5"/>
  <c r="D10" i="5"/>
  <c r="B10" i="5"/>
  <c r="D35" i="3"/>
  <c r="C35" i="3"/>
  <c r="B35" i="3"/>
  <c r="C9" i="5"/>
  <c r="D9" i="5"/>
  <c r="B9" i="5"/>
  <c r="C8" i="5"/>
  <c r="D8" i="5"/>
  <c r="B8" i="5"/>
  <c r="C7" i="5"/>
  <c r="D7" i="5"/>
  <c r="D34" i="3"/>
  <c r="C34" i="3"/>
  <c r="B34" i="3"/>
  <c r="C6" i="5"/>
  <c r="D6" i="5"/>
  <c r="B6" i="5"/>
  <c r="C5" i="5"/>
  <c r="D5" i="5"/>
  <c r="B5" i="5"/>
  <c r="C4" i="5"/>
  <c r="D4" i="5"/>
  <c r="B4" i="5"/>
</calcChain>
</file>

<file path=xl/sharedStrings.xml><?xml version="1.0" encoding="utf-8"?>
<sst xmlns="http://schemas.openxmlformats.org/spreadsheetml/2006/main" count="179" uniqueCount="117">
  <si>
    <t>Particulars</t>
  </si>
  <si>
    <t>FY2024</t>
  </si>
  <si>
    <t>FY2025</t>
  </si>
  <si>
    <t>FY2026</t>
  </si>
  <si>
    <t>Revenue</t>
  </si>
  <si>
    <t>Cost of Revenue</t>
  </si>
  <si>
    <t>Gross Profit</t>
  </si>
  <si>
    <t>Operating Expenses</t>
  </si>
  <si>
    <t>Operating Income</t>
  </si>
  <si>
    <t>Income Before Tax</t>
  </si>
  <si>
    <t>Income Tax Expense</t>
  </si>
  <si>
    <t>Net Income</t>
  </si>
  <si>
    <t>Additional details</t>
  </si>
  <si>
    <t>R&amp;D Expense</t>
  </si>
  <si>
    <t>SG&amp;A Expense</t>
  </si>
  <si>
    <t>Interest Income</t>
  </si>
  <si>
    <t>Interest Expense</t>
  </si>
  <si>
    <t>Cash &amp; Cash Equivalents</t>
  </si>
  <si>
    <t>Marketable Securities</t>
  </si>
  <si>
    <t>Accounts Receivable</t>
  </si>
  <si>
    <t>Inventories</t>
  </si>
  <si>
    <t>Prepaid &amp; Other Current Assets</t>
  </si>
  <si>
    <t>Total Current Assets</t>
  </si>
  <si>
    <t>Property &amp; Equipment, Net</t>
  </si>
  <si>
    <t>Operating Lease Assets</t>
  </si>
  <si>
    <t>Goodwill</t>
  </si>
  <si>
    <t>Intangible Assets, Net</t>
  </si>
  <si>
    <t>Deferred Income Tax Assets</t>
  </si>
  <si>
    <t>Non-marketable Equity Securities</t>
  </si>
  <si>
    <t>Other Assets</t>
  </si>
  <si>
    <t>Total Assets</t>
  </si>
  <si>
    <t>Accounts Payable</t>
  </si>
  <si>
    <t>Accrued &amp; Other Current Liabilities</t>
  </si>
  <si>
    <t>Short-Term Debt</t>
  </si>
  <si>
    <t>Total Current Liabilities</t>
  </si>
  <si>
    <t>Long-Term Debt</t>
  </si>
  <si>
    <t>Long-Term Operating Lease Liabilities</t>
  </si>
  <si>
    <t>Other Long-Term Liabilities</t>
  </si>
  <si>
    <t>Total Liabilities</t>
  </si>
  <si>
    <t>Common Stock</t>
  </si>
  <si>
    <t>Additional Paid-in Capital</t>
  </si>
  <si>
    <t>Accumulated Other Comprehensive Income</t>
  </si>
  <si>
    <t>Retained Earnings</t>
  </si>
  <si>
    <t>Total Shareholders' Equity</t>
  </si>
  <si>
    <t>Total liabilities and shareholders' equity</t>
  </si>
  <si>
    <t>Stock-Based Compensation Expense</t>
  </si>
  <si>
    <t>Depreciation &amp; Amortization</t>
  </si>
  <si>
    <t>Gains on Equity Securities, Net</t>
  </si>
  <si>
    <t>Deferred Income Taxes</t>
  </si>
  <si>
    <t>Other</t>
  </si>
  <si>
    <t>Change in Accounts Receivable</t>
  </si>
  <si>
    <t>Change in Inventories</t>
  </si>
  <si>
    <t>Change in Prepaid Expenses &amp; Other Assets</t>
  </si>
  <si>
    <t>Change in Accounts Payable</t>
  </si>
  <si>
    <t>Change in Accrued &amp; Other Current Liabilities</t>
  </si>
  <si>
    <t>Change in Other Long-Term Liabilities</t>
  </si>
  <si>
    <t>Net Cash Provided by Operating Activities</t>
  </si>
  <si>
    <t>Proceeds from Sales of Marketable Securities</t>
  </si>
  <si>
    <t>Proceeds from Maturities of Marketable Securities</t>
  </si>
  <si>
    <t>Proceeds from Sales of Non-Marketable Equity Securities</t>
  </si>
  <si>
    <t>Purchases of Marketable Securities</t>
  </si>
  <si>
    <t>Purchases of Non-Marketable Equity Securities</t>
  </si>
  <si>
    <t>Groq, Inc.</t>
  </si>
  <si>
    <t>Purchases of Property &amp; Equipment and Intangible Assets</t>
  </si>
  <si>
    <t>Acquisitions, Net of Cash Acquired</t>
  </si>
  <si>
    <t>Net Cash Used in Investing Activities</t>
  </si>
  <si>
    <t>Proceeds Related to Employee Stock Plans</t>
  </si>
  <si>
    <t>Repurchases of Common Stock</t>
  </si>
  <si>
    <t>Payments Related to Employee Stock Plan Taxes</t>
  </si>
  <si>
    <t>Dividends Paid</t>
  </si>
  <si>
    <t>Principal Payments on Property &amp; Equipment and Intangible Assets</t>
  </si>
  <si>
    <t>Repayment of Debt</t>
  </si>
  <si>
    <t>Net Cash Used in Financing Activities</t>
  </si>
  <si>
    <t>FY2024 ($ m)</t>
  </si>
  <si>
    <t>FY2025 ($ m)</t>
  </si>
  <si>
    <t>FY2026 ($ m)</t>
  </si>
  <si>
    <t>Net Cash from Operating Activities</t>
  </si>
  <si>
    <t>Change in Cash &amp; Cash Equivalents</t>
  </si>
  <si>
    <t>Cash at Beginning of Period</t>
  </si>
  <si>
    <t>Cash at End of Period</t>
  </si>
  <si>
    <t>FY2025($ m)</t>
  </si>
  <si>
    <t>Cash Reconciliation</t>
  </si>
  <si>
    <t>Consolidated Statements of Cash Flows</t>
  </si>
  <si>
    <t>Consolidated Statements of Financial Position</t>
  </si>
  <si>
    <t>Ratio</t>
  </si>
  <si>
    <t>Gross Margin</t>
  </si>
  <si>
    <t>Net Margin</t>
  </si>
  <si>
    <t>ROCE</t>
  </si>
  <si>
    <t>ROE</t>
  </si>
  <si>
    <t>Current Ratio</t>
  </si>
  <si>
    <t>Quick Ratio</t>
  </si>
  <si>
    <t>Inventory Days</t>
  </si>
  <si>
    <t>Receivable Days</t>
  </si>
  <si>
    <t>Asset Turnover</t>
  </si>
  <si>
    <t>Gearing</t>
  </si>
  <si>
    <t>Interest Cover</t>
  </si>
  <si>
    <t>Average shareholder's equity</t>
  </si>
  <si>
    <t>Average Inventory</t>
  </si>
  <si>
    <t>Average Accoubts recievables</t>
  </si>
  <si>
    <t>Average Total Assets</t>
  </si>
  <si>
    <t>Total Debt</t>
  </si>
  <si>
    <t>Year</t>
  </si>
  <si>
    <t>Revenue ($m)</t>
  </si>
  <si>
    <t>Net Income ($m)</t>
  </si>
  <si>
    <t>Operating CF ($m)</t>
  </si>
  <si>
    <t>Investing CF ($m)</t>
  </si>
  <si>
    <t>Financing CF ($m)</t>
  </si>
  <si>
    <t>1. Revenue vs Net Income Trend</t>
  </si>
  <si>
    <t>2. Profitability Ratio Trend</t>
  </si>
  <si>
    <t>3. Liquidity Trend</t>
  </si>
  <si>
    <t>4. Efficiency Trend</t>
  </si>
  <si>
    <t>4A. Working Capital Efficiency</t>
  </si>
  <si>
    <t>4B. Asset Turnover</t>
  </si>
  <si>
    <t>5. Leverage Trend</t>
  </si>
  <si>
    <t>5A. Gearing Trend</t>
  </si>
  <si>
    <t>5B. Interest Cover Trend</t>
  </si>
  <si>
    <t>6. Cash Flow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</si>
</sst>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7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3" fontId="2" fillId="0" borderId="1" xfId="0" applyNumberFormat="1" applyFont="1" applyBorder="1"/>
    <xf numFmtId="164" fontId="0" fillId="0" borderId="1" xfId="1" applyNumberFormat="1" applyFont="1" applyBorder="1"/>
    <xf numFmtId="0" fontId="2" fillId="0" borderId="1" xfId="0" applyFont="1" applyBorder="1" applyAlignment="1">
      <alignment vertical="top"/>
    </xf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2" fontId="0" fillId="0" borderId="1" xfId="0" applyNumberFormat="1" applyBorder="1"/>
    <xf numFmtId="174" fontId="0" fillId="0" borderId="1" xfId="0" applyNumberForma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174" fontId="0" fillId="0" borderId="1" xfId="2" applyNumberFormat="1" applyFont="1" applyBorder="1" applyAlignment="1">
      <alignment horizontal="left" vertical="top" wrapText="1"/>
    </xf>
    <xf numFmtId="10" fontId="0" fillId="0" borderId="1" xfId="0" applyNumberFormat="1" applyBorder="1"/>
    <xf numFmtId="0" fontId="2" fillId="0" borderId="0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NVIDIA Revenue and Net Income Trend (FY2024–FY2026)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Data'!$B$4</c:f>
              <c:strCache>
                <c:ptCount val="1"/>
                <c:pt idx="0">
                  <c:v>Revenue ($m)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Data'!$A$5:$A$7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Data'!$B$5:$B$7</c:f>
              <c:numCache>
                <c:formatCode>#,##0</c:formatCode>
                <c:ptCount val="3"/>
                <c:pt idx="0">
                  <c:v>60922</c:v>
                </c:pt>
                <c:pt idx="1">
                  <c:v>130497</c:v>
                </c:pt>
                <c:pt idx="2">
                  <c:v>215938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E-4A10-902D-A3CA00B757FC}"/>
            </c:ext>
          </c:extLst>
        </c:ser>
        <c:ser>
          <c:idx val="1"/>
          <c:order val="1"/>
          <c:tx>
            <c:strRef>
              <c:f>'Dashboard Data'!$C$4</c:f>
              <c:strCache>
                <c:ptCount val="1"/>
                <c:pt idx="0">
                  <c:v>Net Income ($m)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Data'!$A$5:$A$7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Data'!$C$5:$C$7</c:f>
              <c:numCache>
                <c:formatCode>#,##0</c:formatCode>
                <c:ptCount val="3"/>
                <c:pt idx="0">
                  <c:v>29760</c:v>
                </c:pt>
                <c:pt idx="1">
                  <c:v>72880</c:v>
                </c:pt>
                <c:pt idx="2">
                  <c:v>120067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8E-4A10-902D-A3CA00B757F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1525071"/>
        <c:axId val="2051038415"/>
      </c:lineChart>
      <c:catAx>
        <c:axId val="33152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38415"/>
        <c:crosses val="autoZero"/>
        <c:auto val="1"/>
        <c:lblAlgn val="ctr"/>
        <c:lblOffset val="100"/>
        <c:noMultiLvlLbl val="0"/>
      </c:catAx>
      <c:valAx>
        <c:axId val="205103841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52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NVIDIA Liquidity Ratio Trend (FY2024–FY2026)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Data'!$B$30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Data'!$A$31:$A$33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Data'!$B$31:$B$33</c:f>
              <c:numCache>
                <c:formatCode>General</c:formatCode>
                <c:ptCount val="3"/>
                <c:pt idx="0">
                  <c:v>4.17</c:v>
                </c:pt>
                <c:pt idx="1">
                  <c:v>4.4400000000000004</c:v>
                </c:pt>
                <c:pt idx="2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2-442C-BFD7-93392B36F706}"/>
            </c:ext>
          </c:extLst>
        </c:ser>
        <c:ser>
          <c:idx val="1"/>
          <c:order val="1"/>
          <c:tx>
            <c:strRef>
              <c:f>'Dashboard Data'!$C$30</c:f>
              <c:strCache>
                <c:ptCount val="1"/>
                <c:pt idx="0">
                  <c:v>Quick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Data'!$A$31:$A$33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Data'!$C$31:$C$33</c:f>
              <c:numCache>
                <c:formatCode>General</c:formatCode>
                <c:ptCount val="3"/>
                <c:pt idx="0">
                  <c:v>3.67</c:v>
                </c:pt>
                <c:pt idx="1">
                  <c:v>3.88</c:v>
                </c:pt>
                <c:pt idx="2">
                  <c:v>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2-442C-BFD7-93392B36F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828463"/>
        <c:axId val="284967855"/>
      </c:lineChart>
      <c:catAx>
        <c:axId val="408828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Financial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67855"/>
        <c:crosses val="autoZero"/>
        <c:auto val="1"/>
        <c:lblAlgn val="ctr"/>
        <c:lblOffset val="100"/>
        <c:noMultiLvlLbl val="0"/>
      </c:catAx>
      <c:valAx>
        <c:axId val="28496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2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NVIDIA Profitability Ratio Trend (FY2024–FY2026)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Data'!$B$17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Data'!$A$18:$A$20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Data'!$B$18:$B$20</c:f>
              <c:numCache>
                <c:formatCode>0.00</c:formatCode>
                <c:ptCount val="3"/>
                <c:pt idx="0">
                  <c:v>72.71757329043696</c:v>
                </c:pt>
                <c:pt idx="1">
                  <c:v>74.988697058169919</c:v>
                </c:pt>
                <c:pt idx="2">
                  <c:v>71.068084357547079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44-4AE0-B980-B3A9B69ED133}"/>
            </c:ext>
          </c:extLst>
        </c:ser>
        <c:ser>
          <c:idx val="1"/>
          <c:order val="1"/>
          <c:tx>
            <c:strRef>
              <c:f>'Dashboard Data'!$C$17</c:f>
              <c:strCache>
                <c:ptCount val="1"/>
                <c:pt idx="0">
                  <c:v>Net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Data'!$A$18:$A$20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Data'!$C$18:$C$20</c:f>
              <c:numCache>
                <c:formatCode>0.00</c:formatCode>
                <c:ptCount val="3"/>
                <c:pt idx="0">
                  <c:v>48.849348347066737</c:v>
                </c:pt>
                <c:pt idx="1">
                  <c:v>55.848027157712444</c:v>
                </c:pt>
                <c:pt idx="2">
                  <c:v>55.60253406070261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4-4AE0-B980-B3A9B69ED133}"/>
            </c:ext>
          </c:extLst>
        </c:ser>
        <c:ser>
          <c:idx val="2"/>
          <c:order val="2"/>
          <c:tx>
            <c:strRef>
              <c:f>'Dashboard Data'!$D$17</c:f>
              <c:strCache>
                <c:ptCount val="1"/>
                <c:pt idx="0">
                  <c:v>ROCE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'Dashboard Data'!$A$18:$A$20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Data'!$D$18:$D$20</c:f>
              <c:numCache>
                <c:formatCode>0.00</c:formatCode>
                <c:ptCount val="3"/>
                <c:pt idx="0">
                  <c:v>59.843548650561743</c:v>
                </c:pt>
                <c:pt idx="1">
                  <c:v>87.065224362400329</c:v>
                </c:pt>
                <c:pt idx="2">
                  <c:v>74.660444342647736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44-4AE0-B980-B3A9B69ED133}"/>
            </c:ext>
          </c:extLst>
        </c:ser>
        <c:ser>
          <c:idx val="3"/>
          <c:order val="3"/>
          <c:tx>
            <c:strRef>
              <c:f>'Dashboard Data'!$E$17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'Dashboard Data'!$A$18:$A$20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Data'!$E$18:$E$20</c:f>
              <c:numCache>
                <c:formatCode>0.0</c:formatCode>
                <c:ptCount val="3"/>
                <c:pt idx="0">
                  <c:v>91.458074033098242</c:v>
                </c:pt>
                <c:pt idx="1">
                  <c:v>119.17746617063898</c:v>
                </c:pt>
                <c:pt idx="2">
                  <c:v>101.4850815653791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44-4AE0-B980-B3A9B69ED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803855"/>
        <c:axId val="285029295"/>
      </c:lineChart>
      <c:catAx>
        <c:axId val="6458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29295"/>
        <c:crosses val="autoZero"/>
        <c:auto val="1"/>
        <c:lblAlgn val="ctr"/>
        <c:lblOffset val="100"/>
        <c:noMultiLvlLbl val="0"/>
      </c:catAx>
      <c:valAx>
        <c:axId val="28502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0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NVIDIA Working Capital Efficiency (FY2024–FY2026)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Data'!$B$43</c:f>
              <c:strCache>
                <c:ptCount val="1"/>
                <c:pt idx="0">
                  <c:v>Inventory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Data'!$A$44:$A$46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Data'!$B$44:$B$46</c:f>
              <c:numCache>
                <c:formatCode>General</c:formatCode>
                <c:ptCount val="3"/>
                <c:pt idx="0" formatCode="0.00">
                  <c:v>114.64307201732748</c:v>
                </c:pt>
                <c:pt idx="1">
                  <c:v>85.93</c:v>
                </c:pt>
                <c:pt idx="2">
                  <c:v>91.96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7-4D6D-85C5-3832BB43ECCE}"/>
            </c:ext>
          </c:extLst>
        </c:ser>
        <c:ser>
          <c:idx val="1"/>
          <c:order val="1"/>
          <c:tx>
            <c:strRef>
              <c:f>'Dashboard Data'!$C$43</c:f>
              <c:strCache>
                <c:ptCount val="1"/>
                <c:pt idx="0">
                  <c:v>Receivable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Data'!$A$44:$A$46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Data'!$C$44:$C$46</c:f>
              <c:numCache>
                <c:formatCode>General</c:formatCode>
                <c:ptCount val="3"/>
                <c:pt idx="0" formatCode="0.00">
                  <c:v>41.4176323823906</c:v>
                </c:pt>
                <c:pt idx="1">
                  <c:v>46.25</c:v>
                </c:pt>
                <c:pt idx="2">
                  <c:v>52.01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7-4D6D-85C5-3832BB43E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705967"/>
        <c:axId val="285018255"/>
      </c:lineChart>
      <c:catAx>
        <c:axId val="40870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18255"/>
        <c:crosses val="autoZero"/>
        <c:auto val="1"/>
        <c:lblAlgn val="ctr"/>
        <c:lblOffset val="100"/>
        <c:noMultiLvlLbl val="0"/>
      </c:catAx>
      <c:valAx>
        <c:axId val="2850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0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NVIDIA Asset Turnover (FY2024–FY2026)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Data'!$B$48</c:f>
              <c:strCache>
                <c:ptCount val="1"/>
                <c:pt idx="0">
                  <c:v>Asset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Data'!$A$49:$A$51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Data'!$B$49:$B$51</c:f>
              <c:numCache>
                <c:formatCode>General</c:formatCode>
                <c:ptCount val="3"/>
                <c:pt idx="0" formatCode="0.00">
                  <c:v>1.1396875876905808</c:v>
                </c:pt>
                <c:pt idx="1">
                  <c:v>1.47</c:v>
                </c:pt>
                <c:pt idx="2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5-4347-9102-C951E59B1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751439"/>
        <c:axId val="284955855"/>
      </c:lineChart>
      <c:catAx>
        <c:axId val="40875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55855"/>
        <c:crosses val="autoZero"/>
        <c:auto val="1"/>
        <c:lblAlgn val="ctr"/>
        <c:lblOffset val="100"/>
        <c:noMultiLvlLbl val="0"/>
      </c:catAx>
      <c:valAx>
        <c:axId val="28495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5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NVIDIA Gearing Trend (FY2024–FY2026)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Data'!$B$58</c:f>
              <c:strCache>
                <c:ptCount val="1"/>
                <c:pt idx="0">
                  <c:v>Gearing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Data'!$A$59:$A$61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Data'!$B$59:$B$61</c:f>
              <c:numCache>
                <c:formatCode>0.00%</c:formatCode>
                <c:ptCount val="3"/>
                <c:pt idx="0">
                  <c:v>0.22589999999999999</c:v>
                </c:pt>
                <c:pt idx="1">
                  <c:v>0.1067</c:v>
                </c:pt>
                <c:pt idx="2">
                  <c:v>5.3800000000000001E-2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B-40C8-90D3-C89DDA97D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744927"/>
        <c:axId val="284964975"/>
      </c:lineChart>
      <c:catAx>
        <c:axId val="64574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64975"/>
        <c:crosses val="autoZero"/>
        <c:auto val="1"/>
        <c:lblAlgn val="ctr"/>
        <c:lblOffset val="100"/>
        <c:noMultiLvlLbl val="0"/>
      </c:catAx>
      <c:valAx>
        <c:axId val="28496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4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NVIDIA Interest Cover Trend (FY2024–FY2026)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Data'!$B$63</c:f>
              <c:strCache>
                <c:ptCount val="1"/>
                <c:pt idx="0">
                  <c:v>Interest Cover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Data'!$A$64:$A$66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Data'!$B$64:$B$66</c:f>
              <c:numCache>
                <c:formatCode>General</c:formatCode>
                <c:ptCount val="3"/>
                <c:pt idx="0">
                  <c:v>128.30000000000001</c:v>
                </c:pt>
                <c:pt idx="1">
                  <c:v>329.77</c:v>
                </c:pt>
                <c:pt idx="2">
                  <c:v>503.43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D-424E-9C98-5F03305D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53583"/>
        <c:axId val="284913615"/>
      </c:barChart>
      <c:catAx>
        <c:axId val="17615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13615"/>
        <c:crosses val="autoZero"/>
        <c:auto val="1"/>
        <c:lblAlgn val="ctr"/>
        <c:lblOffset val="100"/>
        <c:noMultiLvlLbl val="0"/>
      </c:catAx>
      <c:valAx>
        <c:axId val="2849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NVIDIA Cash Flow Analysis (FY2024–FY2026)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Data'!$B$72</c:f>
              <c:strCache>
                <c:ptCount val="1"/>
                <c:pt idx="0">
                  <c:v>Operating CF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Data'!$A$73:$A$75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Data'!$B$73:$B$75</c:f>
              <c:numCache>
                <c:formatCode>#,##0</c:formatCode>
                <c:ptCount val="3"/>
                <c:pt idx="0">
                  <c:v>28090</c:v>
                </c:pt>
                <c:pt idx="1">
                  <c:v>64089</c:v>
                </c:pt>
                <c:pt idx="2">
                  <c:v>102718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9-434C-AC89-2ADCF91DF7E0}"/>
            </c:ext>
          </c:extLst>
        </c:ser>
        <c:ser>
          <c:idx val="1"/>
          <c:order val="1"/>
          <c:tx>
            <c:strRef>
              <c:f>'Dashboard Data'!$C$72</c:f>
              <c:strCache>
                <c:ptCount val="1"/>
                <c:pt idx="0">
                  <c:v>Investing CF ($m)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Data'!$A$73:$A$75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Data'!$C$73:$C$75</c:f>
              <c:numCache>
                <c:formatCode>#,##0</c:formatCode>
                <c:ptCount val="3"/>
                <c:pt idx="0">
                  <c:v>-10566</c:v>
                </c:pt>
                <c:pt idx="1">
                  <c:v>-20421</c:v>
                </c:pt>
                <c:pt idx="2">
                  <c:v>-52228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9-434C-AC89-2ADCF91DF7E0}"/>
            </c:ext>
          </c:extLst>
        </c:ser>
        <c:ser>
          <c:idx val="2"/>
          <c:order val="2"/>
          <c:tx>
            <c:strRef>
              <c:f>'Dashboard Data'!$D$72</c:f>
              <c:strCache>
                <c:ptCount val="1"/>
                <c:pt idx="0">
                  <c:v>Financing CF ($m)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Data'!$A$73:$A$75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'Dashboard Data'!$D$73:$D$75</c:f>
              <c:numCache>
                <c:formatCode>#,##0</c:formatCode>
                <c:ptCount val="3"/>
                <c:pt idx="0">
                  <c:v>-13633</c:v>
                </c:pt>
                <c:pt idx="1">
                  <c:v>-42359</c:v>
                </c:pt>
                <c:pt idx="2">
                  <c:v>-48474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49-434C-AC89-2ADCF91DF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210239"/>
        <c:axId val="284963535"/>
      </c:barChart>
      <c:catAx>
        <c:axId val="42821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63535"/>
        <c:crosses val="autoZero"/>
        <c:auto val="1"/>
        <c:lblAlgn val="ctr"/>
        <c:lblOffset val="100"/>
        <c:noMultiLvlLbl val="0"/>
      </c:catAx>
      <c:valAx>
        <c:axId val="28496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1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64770</xdr:rowOff>
    </xdr:from>
    <xdr:to>
      <xdr:col>9</xdr:col>
      <xdr:colOff>335280</xdr:colOff>
      <xdr:row>13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8BE66-E920-66DA-F011-7BF8D3EC3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373380</xdr:colOff>
      <xdr:row>26</xdr:row>
      <xdr:rowOff>106680</xdr:rowOff>
    </xdr:from>
    <xdr:to>
      <xdr:col>8</xdr:col>
      <xdr:colOff>312420</xdr:colOff>
      <xdr:row>39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4A6E1B-E5D1-CF89-394A-CA7014898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144780</xdr:colOff>
      <xdr:row>13</xdr:row>
      <xdr:rowOff>163830</xdr:rowOff>
    </xdr:from>
    <xdr:to>
      <xdr:col>11</xdr:col>
      <xdr:colOff>205740</xdr:colOff>
      <xdr:row>25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2E5959-D761-C19B-D217-DFAB75A3A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205740</xdr:colOff>
      <xdr:row>40</xdr:row>
      <xdr:rowOff>68580</xdr:rowOff>
    </xdr:from>
    <xdr:to>
      <xdr:col>9</xdr:col>
      <xdr:colOff>167640</xdr:colOff>
      <xdr:row>50</xdr:row>
      <xdr:rowOff>156210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92E11F7-888C-4FE1-5F91-06810D430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251460</xdr:colOff>
      <xdr:row>40</xdr:row>
      <xdr:rowOff>83820</xdr:rowOff>
    </xdr:from>
    <xdr:to>
      <xdr:col>14</xdr:col>
      <xdr:colOff>586740</xdr:colOff>
      <xdr:row>50</xdr:row>
      <xdr:rowOff>179070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7C3C28-DB38-1D4F-ADA4-4798D8A8C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243840</xdr:colOff>
      <xdr:row>55</xdr:row>
      <xdr:rowOff>60960</xdr:rowOff>
    </xdr:from>
    <xdr:to>
      <xdr:col>5</xdr:col>
      <xdr:colOff>457200</xdr:colOff>
      <xdr:row>65</xdr:row>
      <xdr:rowOff>83820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02B8366-5758-F3A6-7ECE-D2A5AF3A0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861060</xdr:colOff>
      <xdr:row>55</xdr:row>
      <xdr:rowOff>106680</xdr:rowOff>
    </xdr:from>
    <xdr:to>
      <xdr:col>13</xdr:col>
      <xdr:colOff>68580</xdr:colOff>
      <xdr:row>66</xdr:row>
      <xdr:rowOff>15240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43DE972-5947-2F95-877D-B28368707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464820</xdr:colOff>
      <xdr:row>69</xdr:row>
      <xdr:rowOff>118110</xdr:rowOff>
    </xdr:from>
    <xdr:to>
      <xdr:col>11</xdr:col>
      <xdr:colOff>106680</xdr:colOff>
      <xdr:row>84</xdr:row>
      <xdr:rowOff>118110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73B90DB-2EF4-62BF-FCE4-AB90A729C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29C6-2BFE-43BC-B526-A5602BA8476D}">
  <dimension ref="A2:D17"/>
  <sheetViews>
    <sheetView workbookViewId="0"/>
  </sheetViews>
  <sheetFormatPr defaultRowHeight="14.4" x14ac:dyDescent="0.3"/>
  <cols>
    <col min="1" max="1" width="20.109375" customWidth="1"/>
    <col min="2" max="2" width="11.6640625" customWidth="1"/>
    <col min="3" max="4" width="11.77734375" bestFit="1" customWidth="1"/>
  </cols>
  <sheetData>
    <row r="2" spans="1:4" ht="17.399999999999999" customHeight="1" x14ac:dyDescent="0.3">
      <c r="A2" s="1" t="s">
        <v>0</v>
      </c>
      <c r="B2" s="2" t="s">
        <v>73</v>
      </c>
      <c r="C2" s="2" t="s">
        <v>74</v>
      </c>
      <c r="D2" s="2" t="s">
        <v>75</v>
      </c>
    </row>
    <row r="3" spans="1:4" x14ac:dyDescent="0.3">
      <c r="A3" s="3" t="s">
        <v>4</v>
      </c>
      <c r="B3" s="4">
        <v>60922</v>
      </c>
      <c r="C3" s="4">
        <v>130497</v>
      </c>
      <c r="D3" s="4">
        <v>215938</v>
      </c>
    </row>
    <row r="4" spans="1:4" x14ac:dyDescent="0.3">
      <c r="A4" s="3" t="s">
        <v>5</v>
      </c>
      <c r="B4" s="4">
        <v>16621</v>
      </c>
      <c r="C4" s="4">
        <v>32639</v>
      </c>
      <c r="D4" s="4">
        <v>62475</v>
      </c>
    </row>
    <row r="5" spans="1:4" x14ac:dyDescent="0.3">
      <c r="A5" s="3" t="s">
        <v>6</v>
      </c>
      <c r="B5" s="4">
        <v>44301</v>
      </c>
      <c r="C5" s="4">
        <v>97858</v>
      </c>
      <c r="D5" s="4">
        <v>153463</v>
      </c>
    </row>
    <row r="6" spans="1:4" x14ac:dyDescent="0.3">
      <c r="A6" s="3" t="s">
        <v>7</v>
      </c>
      <c r="B6" s="4">
        <v>11329</v>
      </c>
      <c r="C6" s="4">
        <v>16405</v>
      </c>
      <c r="D6" s="4">
        <v>23076</v>
      </c>
    </row>
    <row r="7" spans="1:4" x14ac:dyDescent="0.3">
      <c r="A7" s="3" t="s">
        <v>8</v>
      </c>
      <c r="B7" s="4">
        <v>32972</v>
      </c>
      <c r="C7" s="4">
        <v>81453</v>
      </c>
      <c r="D7" s="4">
        <v>130387</v>
      </c>
    </row>
    <row r="8" spans="1:4" x14ac:dyDescent="0.3">
      <c r="A8" s="3" t="s">
        <v>9</v>
      </c>
      <c r="B8" s="4">
        <v>33818</v>
      </c>
      <c r="C8" s="4">
        <v>84026</v>
      </c>
      <c r="D8" s="4">
        <v>141450</v>
      </c>
    </row>
    <row r="9" spans="1:4" x14ac:dyDescent="0.3">
      <c r="A9" s="3" t="s">
        <v>10</v>
      </c>
      <c r="B9" s="4">
        <v>4058</v>
      </c>
      <c r="C9" s="4">
        <v>11146</v>
      </c>
      <c r="D9" s="4">
        <v>21383</v>
      </c>
    </row>
    <row r="10" spans="1:4" x14ac:dyDescent="0.3">
      <c r="A10" s="5" t="s">
        <v>11</v>
      </c>
      <c r="B10" s="6">
        <v>29760</v>
      </c>
      <c r="C10" s="6">
        <v>72880</v>
      </c>
      <c r="D10" s="6">
        <v>120067</v>
      </c>
    </row>
    <row r="12" spans="1:4" x14ac:dyDescent="0.3">
      <c r="A12" s="7" t="s">
        <v>12</v>
      </c>
    </row>
    <row r="13" spans="1:4" x14ac:dyDescent="0.3">
      <c r="A13" s="1" t="s">
        <v>0</v>
      </c>
      <c r="B13" s="2" t="s">
        <v>1</v>
      </c>
      <c r="C13" s="2" t="s">
        <v>2</v>
      </c>
      <c r="D13" s="2" t="s">
        <v>3</v>
      </c>
    </row>
    <row r="14" spans="1:4" x14ac:dyDescent="0.3">
      <c r="A14" s="3" t="s">
        <v>13</v>
      </c>
      <c r="B14" s="4">
        <v>8675</v>
      </c>
      <c r="C14" s="4">
        <v>12914</v>
      </c>
      <c r="D14" s="4">
        <v>18497</v>
      </c>
    </row>
    <row r="15" spans="1:4" x14ac:dyDescent="0.3">
      <c r="A15" s="3" t="s">
        <v>14</v>
      </c>
      <c r="B15" s="4">
        <v>2654</v>
      </c>
      <c r="C15" s="4">
        <v>3491</v>
      </c>
      <c r="D15" s="4">
        <v>4579</v>
      </c>
    </row>
    <row r="16" spans="1:4" x14ac:dyDescent="0.3">
      <c r="A16" s="3" t="s">
        <v>15</v>
      </c>
      <c r="B16" s="8">
        <v>866</v>
      </c>
      <c r="C16" s="4">
        <v>1786</v>
      </c>
      <c r="D16" s="4">
        <v>2300</v>
      </c>
    </row>
    <row r="17" spans="1:4" x14ac:dyDescent="0.3">
      <c r="A17" s="3" t="s">
        <v>16</v>
      </c>
      <c r="B17" s="8">
        <v>257</v>
      </c>
      <c r="C17" s="8">
        <v>247</v>
      </c>
      <c r="D17" s="8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05B3-B9BB-4156-97E9-6AB008559641}">
  <dimension ref="A1"/>
  <sheetViews>
    <sheetView topLeftCell="A46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F5B8-02A4-4A9B-9B53-1045F055E3AD}">
  <dimension ref="A2:D38"/>
  <sheetViews>
    <sheetView topLeftCell="A15" workbookViewId="0">
      <selection activeCell="G37" sqref="G36:G37"/>
    </sheetView>
  </sheetViews>
  <sheetFormatPr defaultRowHeight="14.4" x14ac:dyDescent="0.3"/>
  <cols>
    <col min="1" max="1" width="40" bestFit="1" customWidth="1"/>
    <col min="2" max="4" width="11.77734375" bestFit="1" customWidth="1"/>
  </cols>
  <sheetData>
    <row r="2" spans="1:4" x14ac:dyDescent="0.3">
      <c r="A2" s="9" t="s">
        <v>83</v>
      </c>
    </row>
    <row r="3" spans="1:4" x14ac:dyDescent="0.3">
      <c r="A3" s="9" t="s">
        <v>0</v>
      </c>
      <c r="B3" s="9" t="s">
        <v>73</v>
      </c>
      <c r="C3" s="9" t="s">
        <v>74</v>
      </c>
      <c r="D3" s="9" t="s">
        <v>75</v>
      </c>
    </row>
    <row r="4" spans="1:4" x14ac:dyDescent="0.3">
      <c r="A4" s="10" t="s">
        <v>17</v>
      </c>
      <c r="B4" s="11">
        <v>7280</v>
      </c>
      <c r="C4" s="11">
        <v>8589</v>
      </c>
      <c r="D4" s="11">
        <v>10605</v>
      </c>
    </row>
    <row r="5" spans="1:4" x14ac:dyDescent="0.3">
      <c r="A5" s="10" t="s">
        <v>18</v>
      </c>
      <c r="B5" s="11">
        <v>18704</v>
      </c>
      <c r="C5" s="11">
        <v>34621</v>
      </c>
      <c r="D5" s="11">
        <v>51951</v>
      </c>
    </row>
    <row r="6" spans="1:4" x14ac:dyDescent="0.3">
      <c r="A6" s="10" t="s">
        <v>19</v>
      </c>
      <c r="B6" s="11">
        <v>9999</v>
      </c>
      <c r="C6" s="11">
        <v>23065</v>
      </c>
      <c r="D6" s="11">
        <v>38466</v>
      </c>
    </row>
    <row r="7" spans="1:4" x14ac:dyDescent="0.3">
      <c r="A7" s="10" t="s">
        <v>20</v>
      </c>
      <c r="B7" s="11">
        <v>5282</v>
      </c>
      <c r="C7" s="11">
        <v>10080</v>
      </c>
      <c r="D7" s="11">
        <v>21403</v>
      </c>
    </row>
    <row r="8" spans="1:4" x14ac:dyDescent="0.3">
      <c r="A8" s="10" t="s">
        <v>21</v>
      </c>
      <c r="B8" s="11">
        <v>3080</v>
      </c>
      <c r="C8" s="11">
        <v>3771</v>
      </c>
      <c r="D8" s="11">
        <v>3180</v>
      </c>
    </row>
    <row r="9" spans="1:4" x14ac:dyDescent="0.3">
      <c r="A9" s="9" t="s">
        <v>22</v>
      </c>
      <c r="B9" s="12">
        <v>44345</v>
      </c>
      <c r="C9" s="12">
        <v>80126</v>
      </c>
      <c r="D9" s="12">
        <v>125605</v>
      </c>
    </row>
    <row r="10" spans="1:4" x14ac:dyDescent="0.3">
      <c r="A10" s="10" t="s">
        <v>23</v>
      </c>
      <c r="B10" s="11">
        <v>3914</v>
      </c>
      <c r="C10" s="11">
        <v>6283</v>
      </c>
      <c r="D10" s="11">
        <v>10383</v>
      </c>
    </row>
    <row r="11" spans="1:4" x14ac:dyDescent="0.3">
      <c r="A11" s="10" t="s">
        <v>24</v>
      </c>
      <c r="B11" s="11">
        <v>1346</v>
      </c>
      <c r="C11" s="11">
        <v>1793</v>
      </c>
      <c r="D11" s="11">
        <v>2867</v>
      </c>
    </row>
    <row r="12" spans="1:4" x14ac:dyDescent="0.3">
      <c r="A12" s="10" t="s">
        <v>25</v>
      </c>
      <c r="B12" s="11">
        <v>4430</v>
      </c>
      <c r="C12" s="11">
        <v>5188</v>
      </c>
      <c r="D12" s="11">
        <v>20832</v>
      </c>
    </row>
    <row r="13" spans="1:4" x14ac:dyDescent="0.3">
      <c r="A13" s="10" t="s">
        <v>26</v>
      </c>
      <c r="B13" s="11">
        <v>1112</v>
      </c>
      <c r="C13" s="10">
        <v>807</v>
      </c>
      <c r="D13" s="11">
        <v>3306</v>
      </c>
    </row>
    <row r="14" spans="1:4" x14ac:dyDescent="0.3">
      <c r="A14" s="10" t="s">
        <v>27</v>
      </c>
      <c r="B14" s="11">
        <v>6081</v>
      </c>
      <c r="C14" s="11">
        <v>10979</v>
      </c>
      <c r="D14" s="11">
        <v>13258</v>
      </c>
    </row>
    <row r="15" spans="1:4" x14ac:dyDescent="0.3">
      <c r="A15" s="10" t="s">
        <v>28</v>
      </c>
      <c r="B15" s="11">
        <v>1321</v>
      </c>
      <c r="C15" s="11">
        <v>3387</v>
      </c>
      <c r="D15" s="11">
        <v>22251</v>
      </c>
    </row>
    <row r="16" spans="1:4" x14ac:dyDescent="0.3">
      <c r="A16" s="10" t="s">
        <v>29</v>
      </c>
      <c r="B16" s="11">
        <v>3179</v>
      </c>
      <c r="C16" s="11">
        <v>3038</v>
      </c>
      <c r="D16" s="11">
        <v>8301</v>
      </c>
    </row>
    <row r="17" spans="1:4" x14ac:dyDescent="0.3">
      <c r="A17" s="9" t="s">
        <v>30</v>
      </c>
      <c r="B17" s="12">
        <v>65728</v>
      </c>
      <c r="C17" s="12">
        <v>111601</v>
      </c>
      <c r="D17" s="12">
        <v>206803</v>
      </c>
    </row>
    <row r="18" spans="1:4" x14ac:dyDescent="0.3">
      <c r="A18" s="10" t="s">
        <v>31</v>
      </c>
      <c r="B18" s="11">
        <v>2699</v>
      </c>
      <c r="C18" s="11">
        <v>6310</v>
      </c>
      <c r="D18" s="11">
        <v>9812</v>
      </c>
    </row>
    <row r="19" spans="1:4" x14ac:dyDescent="0.3">
      <c r="A19" s="10" t="s">
        <v>32</v>
      </c>
      <c r="B19" s="11">
        <v>6682</v>
      </c>
      <c r="C19" s="11">
        <v>11737</v>
      </c>
      <c r="D19" s="11">
        <v>21352</v>
      </c>
    </row>
    <row r="20" spans="1:4" x14ac:dyDescent="0.3">
      <c r="A20" s="10" t="s">
        <v>33</v>
      </c>
      <c r="B20" s="11">
        <v>1250</v>
      </c>
      <c r="C20" s="10">
        <v>0</v>
      </c>
      <c r="D20" s="10">
        <v>999</v>
      </c>
    </row>
    <row r="21" spans="1:4" x14ac:dyDescent="0.3">
      <c r="A21" s="9" t="s">
        <v>34</v>
      </c>
      <c r="B21" s="12">
        <v>10631</v>
      </c>
      <c r="C21" s="12">
        <v>18047</v>
      </c>
      <c r="D21" s="12">
        <v>32163</v>
      </c>
    </row>
    <row r="22" spans="1:4" x14ac:dyDescent="0.3">
      <c r="A22" s="10" t="s">
        <v>35</v>
      </c>
      <c r="B22" s="11">
        <v>8459</v>
      </c>
      <c r="C22" s="11">
        <v>8463</v>
      </c>
      <c r="D22" s="11">
        <v>7469</v>
      </c>
    </row>
    <row r="23" spans="1:4" x14ac:dyDescent="0.3">
      <c r="A23" s="10" t="s">
        <v>36</v>
      </c>
      <c r="B23" s="11">
        <v>1119</v>
      </c>
      <c r="C23" s="11">
        <v>1519</v>
      </c>
      <c r="D23" s="11">
        <v>2572</v>
      </c>
    </row>
    <row r="24" spans="1:4" x14ac:dyDescent="0.3">
      <c r="A24" s="10" t="s">
        <v>37</v>
      </c>
      <c r="B24" s="11">
        <v>2541</v>
      </c>
      <c r="C24" s="11">
        <v>4245</v>
      </c>
      <c r="D24" s="11">
        <v>7306</v>
      </c>
    </row>
    <row r="25" spans="1:4" x14ac:dyDescent="0.3">
      <c r="A25" s="9" t="s">
        <v>38</v>
      </c>
      <c r="B25" s="12">
        <v>22750</v>
      </c>
      <c r="C25" s="12">
        <v>32274</v>
      </c>
      <c r="D25" s="12">
        <v>49510</v>
      </c>
    </row>
    <row r="26" spans="1:4" x14ac:dyDescent="0.3">
      <c r="A26" s="10" t="s">
        <v>39</v>
      </c>
      <c r="B26" s="10">
        <v>25</v>
      </c>
      <c r="C26" s="10">
        <v>24</v>
      </c>
      <c r="D26" s="10">
        <v>24</v>
      </c>
    </row>
    <row r="27" spans="1:4" x14ac:dyDescent="0.3">
      <c r="A27" s="10" t="s">
        <v>40</v>
      </c>
      <c r="B27" s="11">
        <v>13109</v>
      </c>
      <c r="C27" s="11">
        <v>11237</v>
      </c>
      <c r="D27" s="11">
        <v>10118</v>
      </c>
    </row>
    <row r="28" spans="1:4" x14ac:dyDescent="0.3">
      <c r="A28" s="10" t="s">
        <v>41</v>
      </c>
      <c r="B28" s="10">
        <v>27</v>
      </c>
      <c r="C28" s="10">
        <v>28</v>
      </c>
      <c r="D28" s="10">
        <v>178</v>
      </c>
    </row>
    <row r="29" spans="1:4" x14ac:dyDescent="0.3">
      <c r="A29" s="10" t="s">
        <v>42</v>
      </c>
      <c r="B29" s="11">
        <v>29817</v>
      </c>
      <c r="C29" s="11">
        <v>68038</v>
      </c>
      <c r="D29" s="11">
        <v>146973</v>
      </c>
    </row>
    <row r="30" spans="1:4" x14ac:dyDescent="0.3">
      <c r="A30" s="9" t="s">
        <v>43</v>
      </c>
      <c r="B30" s="12">
        <v>42978</v>
      </c>
      <c r="C30" s="12">
        <v>79327</v>
      </c>
      <c r="D30" s="12">
        <v>157293</v>
      </c>
    </row>
    <row r="31" spans="1:4" x14ac:dyDescent="0.3">
      <c r="A31" s="10" t="s">
        <v>44</v>
      </c>
      <c r="B31" s="13">
        <v>65728</v>
      </c>
      <c r="C31" s="11">
        <v>111601</v>
      </c>
      <c r="D31" s="11">
        <v>206803</v>
      </c>
    </row>
    <row r="34" spans="1:4" x14ac:dyDescent="0.3">
      <c r="A34" s="15" t="s">
        <v>96</v>
      </c>
      <c r="B34" s="15">
        <f>(22101+B30)/2</f>
        <v>32539.5</v>
      </c>
      <c r="C34" s="15">
        <f>(C30+B30)/2</f>
        <v>61152.5</v>
      </c>
      <c r="D34" s="15">
        <f>(D30+C30)/2</f>
        <v>118310</v>
      </c>
    </row>
    <row r="35" spans="1:4" x14ac:dyDescent="0.3">
      <c r="A35" s="15" t="s">
        <v>97</v>
      </c>
      <c r="B35" s="15">
        <f>(5159+B7)/2</f>
        <v>5220.5</v>
      </c>
      <c r="C35" s="15">
        <f>(C7+B7)/2</f>
        <v>7681</v>
      </c>
      <c r="D35" s="15">
        <f>(D7+C7)/2</f>
        <v>15741.5</v>
      </c>
    </row>
    <row r="36" spans="1:4" x14ac:dyDescent="0.3">
      <c r="A36" s="15" t="s">
        <v>98</v>
      </c>
      <c r="B36" s="15">
        <f>(B6+3827)/2</f>
        <v>6913</v>
      </c>
      <c r="C36" s="15">
        <f>(C6+B6)/2</f>
        <v>16532</v>
      </c>
      <c r="D36" s="15">
        <f>(D6+C6)/2</f>
        <v>30765.5</v>
      </c>
    </row>
    <row r="37" spans="1:4" x14ac:dyDescent="0.3">
      <c r="A37" s="15" t="s">
        <v>99</v>
      </c>
      <c r="B37" s="15">
        <f>(B17+41182)/2</f>
        <v>53455</v>
      </c>
      <c r="C37" s="15">
        <f>(C17+B17)/2</f>
        <v>88664.5</v>
      </c>
      <c r="D37" s="15">
        <f>(D17+C17)/2</f>
        <v>159202</v>
      </c>
    </row>
    <row r="38" spans="1:4" x14ac:dyDescent="0.3">
      <c r="A38" s="15" t="s">
        <v>100</v>
      </c>
      <c r="B38" s="17">
        <f>B20+B22</f>
        <v>9709</v>
      </c>
      <c r="C38" s="17">
        <f t="shared" ref="C38:D38" si="0">C20+C22</f>
        <v>8463</v>
      </c>
      <c r="D38" s="17">
        <f t="shared" si="0"/>
        <v>8468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9E5D-9CD4-44A9-8A7B-297952F94288}">
  <dimension ref="A2:D43"/>
  <sheetViews>
    <sheetView topLeftCell="A22" workbookViewId="0">
      <selection activeCell="A45" sqref="A45"/>
    </sheetView>
  </sheetViews>
  <sheetFormatPr defaultRowHeight="14.4" x14ac:dyDescent="0.3"/>
  <cols>
    <col min="1" max="1" width="55.77734375" bestFit="1" customWidth="1"/>
    <col min="2" max="4" width="11.77734375" bestFit="1" customWidth="1"/>
  </cols>
  <sheetData>
    <row r="2" spans="1:4" x14ac:dyDescent="0.3">
      <c r="A2" s="14" t="s">
        <v>82</v>
      </c>
    </row>
    <row r="3" spans="1:4" x14ac:dyDescent="0.3">
      <c r="A3" s="9" t="s">
        <v>0</v>
      </c>
      <c r="B3" s="9" t="s">
        <v>73</v>
      </c>
      <c r="C3" s="9" t="s">
        <v>74</v>
      </c>
      <c r="D3" s="9" t="s">
        <v>75</v>
      </c>
    </row>
    <row r="4" spans="1:4" x14ac:dyDescent="0.3">
      <c r="A4" s="9" t="s">
        <v>11</v>
      </c>
      <c r="B4" s="12">
        <v>29760</v>
      </c>
      <c r="C4" s="12">
        <v>72880</v>
      </c>
      <c r="D4" s="12">
        <v>120067</v>
      </c>
    </row>
    <row r="5" spans="1:4" x14ac:dyDescent="0.3">
      <c r="A5" s="10" t="s">
        <v>45</v>
      </c>
      <c r="B5" s="11">
        <v>3549</v>
      </c>
      <c r="C5" s="11">
        <v>4737</v>
      </c>
      <c r="D5" s="11">
        <v>6386</v>
      </c>
    </row>
    <row r="6" spans="1:4" x14ac:dyDescent="0.3">
      <c r="A6" s="10" t="s">
        <v>46</v>
      </c>
      <c r="B6" s="11">
        <v>1508</v>
      </c>
      <c r="C6" s="11">
        <v>1864</v>
      </c>
      <c r="D6" s="11">
        <v>2843</v>
      </c>
    </row>
    <row r="7" spans="1:4" x14ac:dyDescent="0.3">
      <c r="A7" s="10" t="s">
        <v>47</v>
      </c>
      <c r="B7" s="10">
        <v>-238</v>
      </c>
      <c r="C7" s="11">
        <v>-1030</v>
      </c>
      <c r="D7" s="11">
        <v>-8918</v>
      </c>
    </row>
    <row r="8" spans="1:4" x14ac:dyDescent="0.3">
      <c r="A8" s="10" t="s">
        <v>48</v>
      </c>
      <c r="B8" s="11">
        <v>-2489</v>
      </c>
      <c r="C8" s="11">
        <v>-4477</v>
      </c>
      <c r="D8" s="11">
        <v>-1424</v>
      </c>
    </row>
    <row r="9" spans="1:4" x14ac:dyDescent="0.3">
      <c r="A9" s="10" t="s">
        <v>49</v>
      </c>
      <c r="B9" s="10">
        <v>-278</v>
      </c>
      <c r="C9" s="10">
        <v>-502</v>
      </c>
      <c r="D9" s="10">
        <v>-287</v>
      </c>
    </row>
    <row r="10" spans="1:4" x14ac:dyDescent="0.3">
      <c r="A10" s="10" t="s">
        <v>50</v>
      </c>
      <c r="B10" s="11">
        <v>-6172</v>
      </c>
      <c r="C10" s="11">
        <v>-13063</v>
      </c>
      <c r="D10" s="11">
        <v>-15399</v>
      </c>
    </row>
    <row r="11" spans="1:4" x14ac:dyDescent="0.3">
      <c r="A11" s="10" t="s">
        <v>51</v>
      </c>
      <c r="B11" s="10">
        <v>-98</v>
      </c>
      <c r="C11" s="11">
        <v>-4781</v>
      </c>
      <c r="D11" s="11">
        <v>-11324</v>
      </c>
    </row>
    <row r="12" spans="1:4" x14ac:dyDescent="0.3">
      <c r="A12" s="10" t="s">
        <v>52</v>
      </c>
      <c r="B12" s="11">
        <v>-1522</v>
      </c>
      <c r="C12" s="10">
        <v>-395</v>
      </c>
      <c r="D12" s="10">
        <v>577</v>
      </c>
    </row>
    <row r="13" spans="1:4" x14ac:dyDescent="0.3">
      <c r="A13" s="10" t="s">
        <v>53</v>
      </c>
      <c r="B13" s="11">
        <v>1531</v>
      </c>
      <c r="C13" s="11">
        <v>3357</v>
      </c>
      <c r="D13" s="11">
        <v>3096</v>
      </c>
    </row>
    <row r="14" spans="1:4" x14ac:dyDescent="0.3">
      <c r="A14" s="10" t="s">
        <v>54</v>
      </c>
      <c r="B14" s="11">
        <v>2025</v>
      </c>
      <c r="C14" s="11">
        <v>4278</v>
      </c>
      <c r="D14" s="11">
        <v>5257</v>
      </c>
    </row>
    <row r="15" spans="1:4" x14ac:dyDescent="0.3">
      <c r="A15" s="10" t="s">
        <v>55</v>
      </c>
      <c r="B15" s="10">
        <v>514</v>
      </c>
      <c r="C15" s="11">
        <v>1221</v>
      </c>
      <c r="D15" s="11">
        <v>1844</v>
      </c>
    </row>
    <row r="16" spans="1:4" x14ac:dyDescent="0.3">
      <c r="A16" s="9" t="s">
        <v>56</v>
      </c>
      <c r="B16" s="12">
        <v>28090</v>
      </c>
      <c r="C16" s="12">
        <v>64089</v>
      </c>
      <c r="D16" s="12">
        <v>102718</v>
      </c>
    </row>
    <row r="17" spans="1:4" x14ac:dyDescent="0.3">
      <c r="A17" s="10" t="s">
        <v>57</v>
      </c>
      <c r="B17" s="10">
        <v>50</v>
      </c>
      <c r="C17" s="10">
        <v>495</v>
      </c>
      <c r="D17" s="11">
        <v>15157</v>
      </c>
    </row>
    <row r="18" spans="1:4" x14ac:dyDescent="0.3">
      <c r="A18" s="10" t="s">
        <v>58</v>
      </c>
      <c r="B18" s="11">
        <v>9732</v>
      </c>
      <c r="C18" s="11">
        <v>11195</v>
      </c>
      <c r="D18" s="11">
        <v>11226</v>
      </c>
    </row>
    <row r="19" spans="1:4" x14ac:dyDescent="0.3">
      <c r="A19" s="10" t="s">
        <v>59</v>
      </c>
      <c r="B19" s="10">
        <v>1</v>
      </c>
      <c r="C19" s="10">
        <v>171</v>
      </c>
      <c r="D19" s="10">
        <v>84</v>
      </c>
    </row>
    <row r="20" spans="1:4" x14ac:dyDescent="0.3">
      <c r="A20" s="10" t="s">
        <v>60</v>
      </c>
      <c r="B20" s="11">
        <v>-18211</v>
      </c>
      <c r="C20" s="11">
        <v>-26575</v>
      </c>
      <c r="D20" s="11">
        <v>-40616</v>
      </c>
    </row>
    <row r="21" spans="1:4" x14ac:dyDescent="0.3">
      <c r="A21" s="10" t="s">
        <v>61</v>
      </c>
      <c r="B21" s="10">
        <v>-862</v>
      </c>
      <c r="C21" s="11">
        <v>-1486</v>
      </c>
      <c r="D21" s="11">
        <v>-17502</v>
      </c>
    </row>
    <row r="22" spans="1:4" x14ac:dyDescent="0.3">
      <c r="A22" s="10" t="s">
        <v>62</v>
      </c>
      <c r="B22" s="10">
        <v>0</v>
      </c>
      <c r="C22" s="10">
        <v>0</v>
      </c>
      <c r="D22" s="11">
        <v>-13000</v>
      </c>
    </row>
    <row r="23" spans="1:4" x14ac:dyDescent="0.3">
      <c r="A23" s="10" t="s">
        <v>63</v>
      </c>
      <c r="B23" s="11">
        <v>-1069</v>
      </c>
      <c r="C23" s="11">
        <v>-3236</v>
      </c>
      <c r="D23" s="11">
        <v>-6042</v>
      </c>
    </row>
    <row r="24" spans="1:4" x14ac:dyDescent="0.3">
      <c r="A24" s="10" t="s">
        <v>64</v>
      </c>
      <c r="B24" s="10">
        <v>-83</v>
      </c>
      <c r="C24" s="11">
        <v>-1007</v>
      </c>
      <c r="D24" s="11">
        <v>-1535</v>
      </c>
    </row>
    <row r="25" spans="1:4" x14ac:dyDescent="0.3">
      <c r="A25" s="10" t="s">
        <v>49</v>
      </c>
      <c r="B25" s="10">
        <v>-124</v>
      </c>
      <c r="C25" s="10">
        <v>22</v>
      </c>
      <c r="D25" s="10">
        <v>0</v>
      </c>
    </row>
    <row r="26" spans="1:4" x14ac:dyDescent="0.3">
      <c r="A26" s="9" t="s">
        <v>65</v>
      </c>
      <c r="B26" s="12">
        <v>-10566</v>
      </c>
      <c r="C26" s="12">
        <v>-20421</v>
      </c>
      <c r="D26" s="12">
        <v>-52228</v>
      </c>
    </row>
    <row r="27" spans="1:4" x14ac:dyDescent="0.3">
      <c r="A27" s="10" t="s">
        <v>66</v>
      </c>
      <c r="B27" s="10">
        <v>403</v>
      </c>
      <c r="C27" s="10">
        <v>490</v>
      </c>
      <c r="D27" s="10">
        <v>644</v>
      </c>
    </row>
    <row r="28" spans="1:4" x14ac:dyDescent="0.3">
      <c r="A28" s="10" t="s">
        <v>67</v>
      </c>
      <c r="B28" s="11">
        <v>-9533</v>
      </c>
      <c r="C28" s="11">
        <v>-33706</v>
      </c>
      <c r="D28" s="11">
        <v>-40086</v>
      </c>
    </row>
    <row r="29" spans="1:4" x14ac:dyDescent="0.3">
      <c r="A29" s="10" t="s">
        <v>68</v>
      </c>
      <c r="B29" s="11">
        <v>-2783</v>
      </c>
      <c r="C29" s="11">
        <v>-6930</v>
      </c>
      <c r="D29" s="11">
        <v>-7948</v>
      </c>
    </row>
    <row r="30" spans="1:4" x14ac:dyDescent="0.3">
      <c r="A30" s="10" t="s">
        <v>69</v>
      </c>
      <c r="B30" s="10">
        <v>-395</v>
      </c>
      <c r="C30" s="10">
        <v>-834</v>
      </c>
      <c r="D30" s="10">
        <v>-974</v>
      </c>
    </row>
    <row r="31" spans="1:4" x14ac:dyDescent="0.3">
      <c r="A31" s="10" t="s">
        <v>70</v>
      </c>
      <c r="B31" s="10">
        <v>-74</v>
      </c>
      <c r="C31" s="10">
        <v>-129</v>
      </c>
      <c r="D31" s="10">
        <v>-101</v>
      </c>
    </row>
    <row r="32" spans="1:4" x14ac:dyDescent="0.3">
      <c r="A32" s="10" t="s">
        <v>71</v>
      </c>
      <c r="B32" s="11">
        <v>-1250</v>
      </c>
      <c r="C32" s="11">
        <v>-1250</v>
      </c>
      <c r="D32" s="10">
        <v>0</v>
      </c>
    </row>
    <row r="33" spans="1:4" x14ac:dyDescent="0.3">
      <c r="A33" s="10" t="s">
        <v>49</v>
      </c>
      <c r="B33" s="10">
        <v>-1</v>
      </c>
      <c r="C33" s="10">
        <v>0</v>
      </c>
      <c r="D33" s="10">
        <v>-9</v>
      </c>
    </row>
    <row r="34" spans="1:4" x14ac:dyDescent="0.3">
      <c r="A34" s="9" t="s">
        <v>72</v>
      </c>
      <c r="B34" s="12">
        <v>-13633</v>
      </c>
      <c r="C34" s="12">
        <v>-42359</v>
      </c>
      <c r="D34" s="12">
        <v>-48474</v>
      </c>
    </row>
    <row r="36" spans="1:4" x14ac:dyDescent="0.3">
      <c r="A36" s="9" t="s">
        <v>81</v>
      </c>
      <c r="B36" s="10"/>
      <c r="C36" s="10"/>
      <c r="D36" s="10"/>
    </row>
    <row r="37" spans="1:4" x14ac:dyDescent="0.3">
      <c r="A37" s="9" t="s">
        <v>0</v>
      </c>
      <c r="B37" s="9" t="s">
        <v>73</v>
      </c>
      <c r="C37" s="9" t="s">
        <v>80</v>
      </c>
      <c r="D37" s="9" t="s">
        <v>75</v>
      </c>
    </row>
    <row r="38" spans="1:4" x14ac:dyDescent="0.3">
      <c r="A38" s="10" t="s">
        <v>76</v>
      </c>
      <c r="B38" s="11">
        <v>28090</v>
      </c>
      <c r="C38" s="11">
        <v>64089</v>
      </c>
      <c r="D38" s="11">
        <v>102718</v>
      </c>
    </row>
    <row r="39" spans="1:4" x14ac:dyDescent="0.3">
      <c r="A39" s="10" t="s">
        <v>65</v>
      </c>
      <c r="B39" s="11">
        <v>-10566</v>
      </c>
      <c r="C39" s="11">
        <v>-20421</v>
      </c>
      <c r="D39" s="11">
        <v>-52228</v>
      </c>
    </row>
    <row r="40" spans="1:4" x14ac:dyDescent="0.3">
      <c r="A40" s="10" t="s">
        <v>72</v>
      </c>
      <c r="B40" s="11">
        <v>-13633</v>
      </c>
      <c r="C40" s="11">
        <v>-42359</v>
      </c>
      <c r="D40" s="11">
        <v>-48474</v>
      </c>
    </row>
    <row r="41" spans="1:4" x14ac:dyDescent="0.3">
      <c r="A41" s="10" t="s">
        <v>77</v>
      </c>
      <c r="B41" s="11">
        <v>3891</v>
      </c>
      <c r="C41" s="11">
        <v>1309</v>
      </c>
      <c r="D41" s="11">
        <v>2016</v>
      </c>
    </row>
    <row r="42" spans="1:4" x14ac:dyDescent="0.3">
      <c r="A42" s="10" t="s">
        <v>78</v>
      </c>
      <c r="B42" s="11">
        <v>3389</v>
      </c>
      <c r="C42" s="11">
        <v>7280</v>
      </c>
      <c r="D42" s="11">
        <v>8589</v>
      </c>
    </row>
    <row r="43" spans="1:4" x14ac:dyDescent="0.3">
      <c r="A43" s="10" t="s">
        <v>79</v>
      </c>
      <c r="B43" s="11">
        <v>7280</v>
      </c>
      <c r="C43" s="11">
        <v>8589</v>
      </c>
      <c r="D43" s="11">
        <v>10605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AB1D-F178-445C-8CF2-6BB601985017}">
  <dimension ref="A3:D14"/>
  <sheetViews>
    <sheetView workbookViewId="0">
      <selection activeCell="J13" sqref="J13"/>
    </sheetView>
  </sheetViews>
  <sheetFormatPr defaultRowHeight="14.4" x14ac:dyDescent="0.3"/>
  <cols>
    <col min="1" max="1" width="14.21875" bestFit="1" customWidth="1"/>
    <col min="2" max="4" width="11.5546875" bestFit="1" customWidth="1"/>
  </cols>
  <sheetData>
    <row r="3" spans="1:4" x14ac:dyDescent="0.3">
      <c r="A3" s="9" t="s">
        <v>84</v>
      </c>
      <c r="B3" s="9" t="s">
        <v>1</v>
      </c>
      <c r="C3" s="9" t="s">
        <v>2</v>
      </c>
      <c r="D3" s="9" t="s">
        <v>3</v>
      </c>
    </row>
    <row r="4" spans="1:4" x14ac:dyDescent="0.3">
      <c r="A4" s="10" t="s">
        <v>85</v>
      </c>
      <c r="B4" s="19">
        <f>('Raw Data'!B5/'Raw Data'!B3)*100</f>
        <v>72.71757329043696</v>
      </c>
      <c r="C4" s="19">
        <f>('Raw Data'!C5/'Raw Data'!C3)*100</f>
        <v>74.988697058169919</v>
      </c>
      <c r="D4" s="19">
        <f>('Raw Data'!D5/'Raw Data'!D3)*100</f>
        <v>71.068084357547079</v>
      </c>
    </row>
    <row r="5" spans="1:4" x14ac:dyDescent="0.3">
      <c r="A5" s="10" t="s">
        <v>86</v>
      </c>
      <c r="B5" s="19">
        <f>('Raw Data'!B10/'Raw Data'!B3)*100</f>
        <v>48.849348347066737</v>
      </c>
      <c r="C5" s="19">
        <f>('Raw Data'!C10/'Raw Data'!C3)*100</f>
        <v>55.848027157712444</v>
      </c>
      <c r="D5" s="19">
        <f>('Raw Data'!D10/'Raw Data'!D3)*100</f>
        <v>55.60253406070261</v>
      </c>
    </row>
    <row r="6" spans="1:4" x14ac:dyDescent="0.3">
      <c r="A6" s="10" t="s">
        <v>87</v>
      </c>
      <c r="B6" s="19">
        <f>('Raw Data'!B7/('Balance Sheet'!B17-'Balance Sheet'!B21))*100</f>
        <v>59.843548650561743</v>
      </c>
      <c r="C6" s="19">
        <f>('Raw Data'!C7/('Balance Sheet'!C17-'Balance Sheet'!C21))*100</f>
        <v>87.065224362400329</v>
      </c>
      <c r="D6" s="19">
        <f>('Raw Data'!D7/('Balance Sheet'!D17-'Balance Sheet'!D21))*100</f>
        <v>74.660444342647736</v>
      </c>
    </row>
    <row r="7" spans="1:4" x14ac:dyDescent="0.3">
      <c r="A7" s="10" t="s">
        <v>88</v>
      </c>
      <c r="B7" s="19">
        <f>('Raw Data'!B10/'Balance Sheet'!B34)*100</f>
        <v>91.458074033098242</v>
      </c>
      <c r="C7" s="19">
        <f>('Raw Data'!C10/'Balance Sheet'!C34)*100</f>
        <v>119.17746617063898</v>
      </c>
      <c r="D7" s="19">
        <f>('Raw Data'!D10/'Balance Sheet'!D34)*100</f>
        <v>101.4850815653791</v>
      </c>
    </row>
    <row r="8" spans="1:4" x14ac:dyDescent="0.3">
      <c r="A8" s="10" t="s">
        <v>89</v>
      </c>
      <c r="B8" s="19">
        <f>'Balance Sheet'!B9/'Balance Sheet'!B21</f>
        <v>4.1712915059730973</v>
      </c>
      <c r="C8" s="19">
        <f>'Balance Sheet'!C9/'Balance Sheet'!C21</f>
        <v>4.4398514988640772</v>
      </c>
      <c r="D8" s="19">
        <f>'Balance Sheet'!D9/'Balance Sheet'!D21</f>
        <v>3.9052638124553058</v>
      </c>
    </row>
    <row r="9" spans="1:4" x14ac:dyDescent="0.3">
      <c r="A9" s="10" t="s">
        <v>90</v>
      </c>
      <c r="B9" s="19">
        <f>('Balance Sheet'!B9-'Balance Sheet'!B7)/'Balance Sheet'!B21</f>
        <v>3.6744426676700215</v>
      </c>
      <c r="C9" s="19">
        <f>('Balance Sheet'!C9-'Balance Sheet'!C7)/'Balance Sheet'!C21</f>
        <v>3.8813099130049316</v>
      </c>
      <c r="D9" s="19">
        <f>('Balance Sheet'!D9-'Balance Sheet'!D7)/'Balance Sheet'!D21</f>
        <v>3.2398097192426079</v>
      </c>
    </row>
    <row r="10" spans="1:4" x14ac:dyDescent="0.3">
      <c r="A10" s="10" t="s">
        <v>91</v>
      </c>
      <c r="B10" s="19">
        <f>('Balance Sheet'!B35/'Raw Data'!B4)*365</f>
        <v>114.64307201732748</v>
      </c>
      <c r="C10" s="19">
        <f>('Balance Sheet'!C35/'Raw Data'!C4)*365</f>
        <v>85.896167161984124</v>
      </c>
      <c r="D10" s="19">
        <f>('Balance Sheet'!D35/'Raw Data'!D4)*365</f>
        <v>91.96714685874349</v>
      </c>
    </row>
    <row r="11" spans="1:4" x14ac:dyDescent="0.3">
      <c r="A11" s="10" t="s">
        <v>92</v>
      </c>
      <c r="B11" s="19">
        <f>('Balance Sheet'!B36/'Raw Data'!B3)*365</f>
        <v>41.4176323823906</v>
      </c>
      <c r="C11" s="19">
        <f>('Balance Sheet'!C36/'Raw Data'!C3)*365</f>
        <v>46.239990191345399</v>
      </c>
      <c r="D11" s="19">
        <f>('Balance Sheet'!D36/'Raw Data'!D3)*365</f>
        <v>52.002924450536725</v>
      </c>
    </row>
    <row r="12" spans="1:4" x14ac:dyDescent="0.3">
      <c r="A12" s="10" t="s">
        <v>93</v>
      </c>
      <c r="B12" s="19">
        <f>'Raw Data'!B3/'Balance Sheet'!B37</f>
        <v>1.1396875876905808</v>
      </c>
      <c r="C12" s="19">
        <f>'Raw Data'!C3/'Balance Sheet'!C37</f>
        <v>1.4718066418916251</v>
      </c>
      <c r="D12" s="19">
        <f>'Raw Data'!D3/'Balance Sheet'!D37</f>
        <v>1.3563774324443161</v>
      </c>
    </row>
    <row r="13" spans="1:4" x14ac:dyDescent="0.3">
      <c r="A13" s="10" t="s">
        <v>94</v>
      </c>
      <c r="B13" s="19">
        <f>('Balance Sheet'!B38/'Balance Sheet'!B30)*100</f>
        <v>22.590627763041557</v>
      </c>
      <c r="C13" s="19">
        <f>('Balance Sheet'!C38/'Balance Sheet'!C30)*100</f>
        <v>10.668498745698187</v>
      </c>
      <c r="D13" s="19">
        <f>('Balance Sheet'!D38/'Balance Sheet'!D30)*100</f>
        <v>5.3835835033981168</v>
      </c>
    </row>
    <row r="14" spans="1:4" x14ac:dyDescent="0.3">
      <c r="A14" s="10" t="s">
        <v>95</v>
      </c>
      <c r="B14" s="19">
        <f>'Raw Data'!B7/'Raw Data'!B17</f>
        <v>128.29571984435799</v>
      </c>
      <c r="C14" s="19">
        <f>'Raw Data'!C7/'Raw Data'!C17</f>
        <v>329.76923076923077</v>
      </c>
      <c r="D14" s="19">
        <f>'Raw Data'!D7/'Raw Data'!D17</f>
        <v>503.42471042471044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96EA-DF35-4249-B012-36FFB460A894}">
  <dimension ref="A3:E75"/>
  <sheetViews>
    <sheetView tabSelected="1" topLeftCell="A64" workbookViewId="0">
      <selection activeCell="B77" sqref="B77"/>
    </sheetView>
  </sheetViews>
  <sheetFormatPr defaultRowHeight="14.4" x14ac:dyDescent="0.3"/>
  <cols>
    <col min="1" max="1" width="6.88671875" bestFit="1" customWidth="1"/>
    <col min="2" max="4" width="15.88671875" bestFit="1" customWidth="1"/>
    <col min="5" max="5" width="14.21875" bestFit="1" customWidth="1"/>
    <col min="6" max="6" width="13.21875" bestFit="1" customWidth="1"/>
  </cols>
  <sheetData>
    <row r="3" spans="1:3" x14ac:dyDescent="0.3">
      <c r="A3" s="15" t="s">
        <v>107</v>
      </c>
    </row>
    <row r="4" spans="1:3" x14ac:dyDescent="0.3">
      <c r="A4" s="9" t="s">
        <v>101</v>
      </c>
      <c r="B4" s="9" t="s">
        <v>102</v>
      </c>
      <c r="C4" s="9" t="s">
        <v>103</v>
      </c>
    </row>
    <row r="5" spans="1:3" x14ac:dyDescent="0.3">
      <c r="A5" s="10" t="s">
        <v>1</v>
      </c>
      <c r="B5" s="11">
        <v>60922</v>
      </c>
      <c r="C5" s="11">
        <v>29760</v>
      </c>
    </row>
    <row r="6" spans="1:3" x14ac:dyDescent="0.3">
      <c r="A6" s="10" t="s">
        <v>2</v>
      </c>
      <c r="B6" s="11">
        <v>130497</v>
      </c>
      <c r="C6" s="11">
        <v>72880</v>
      </c>
    </row>
    <row r="7" spans="1:3" x14ac:dyDescent="0.3">
      <c r="A7" s="10" t="s">
        <v>3</v>
      </c>
      <c r="B7" s="11">
        <v>215938</v>
      </c>
      <c r="C7" s="11">
        <v>120067</v>
      </c>
    </row>
    <row r="8" spans="1:3" x14ac:dyDescent="0.3">
      <c r="B8" s="16"/>
      <c r="C8" s="16"/>
    </row>
    <row r="16" spans="1:3" x14ac:dyDescent="0.3">
      <c r="A16" s="15" t="s">
        <v>108</v>
      </c>
    </row>
    <row r="17" spans="1:5" x14ac:dyDescent="0.3">
      <c r="A17" s="20" t="s">
        <v>101</v>
      </c>
      <c r="B17" s="20" t="s">
        <v>85</v>
      </c>
      <c r="C17" s="20" t="s">
        <v>86</v>
      </c>
      <c r="D17" s="20" t="s">
        <v>87</v>
      </c>
      <c r="E17" s="20" t="s">
        <v>88</v>
      </c>
    </row>
    <row r="18" spans="1:5" x14ac:dyDescent="0.3">
      <c r="A18" s="21" t="s">
        <v>1</v>
      </c>
      <c r="B18" s="22">
        <f>Ratios!B4</f>
        <v>72.71757329043696</v>
      </c>
      <c r="C18" s="22">
        <f>Ratios!B5</f>
        <v>48.849348347066737</v>
      </c>
      <c r="D18" s="22">
        <f>Ratios!B6</f>
        <v>59.843548650561743</v>
      </c>
      <c r="E18" s="23">
        <f>Ratios!B7</f>
        <v>91.458074033098242</v>
      </c>
    </row>
    <row r="19" spans="1:5" x14ac:dyDescent="0.3">
      <c r="A19" s="21" t="s">
        <v>2</v>
      </c>
      <c r="B19" s="22">
        <f>Ratios!C4</f>
        <v>74.988697058169919</v>
      </c>
      <c r="C19" s="22">
        <f>Ratios!C5</f>
        <v>55.848027157712444</v>
      </c>
      <c r="D19" s="22">
        <f>Ratios!C6</f>
        <v>87.065224362400329</v>
      </c>
      <c r="E19" s="23">
        <f>Ratios!C7</f>
        <v>119.17746617063898</v>
      </c>
    </row>
    <row r="20" spans="1:5" x14ac:dyDescent="0.3">
      <c r="A20" s="21" t="s">
        <v>3</v>
      </c>
      <c r="B20" s="22">
        <f>Ratios!D4</f>
        <v>71.068084357547079</v>
      </c>
      <c r="C20" s="22">
        <f>Ratios!D5</f>
        <v>55.60253406070261</v>
      </c>
      <c r="D20" s="22">
        <f>Ratios!D6</f>
        <v>74.660444342647736</v>
      </c>
      <c r="E20" s="23">
        <f>Ratios!D7</f>
        <v>101.4850815653791</v>
      </c>
    </row>
    <row r="29" spans="1:5" x14ac:dyDescent="0.3">
      <c r="A29" s="15" t="s">
        <v>109</v>
      </c>
    </row>
    <row r="30" spans="1:5" s="15" customFormat="1" x14ac:dyDescent="0.3">
      <c r="A30" s="9" t="s">
        <v>101</v>
      </c>
      <c r="B30" s="9" t="s">
        <v>89</v>
      </c>
      <c r="C30" s="9" t="s">
        <v>90</v>
      </c>
    </row>
    <row r="31" spans="1:5" x14ac:dyDescent="0.3">
      <c r="A31" s="10" t="s">
        <v>1</v>
      </c>
      <c r="B31" s="10">
        <v>4.17</v>
      </c>
      <c r="C31" s="10">
        <v>3.67</v>
      </c>
    </row>
    <row r="32" spans="1:5" x14ac:dyDescent="0.3">
      <c r="A32" s="10" t="s">
        <v>2</v>
      </c>
      <c r="B32" s="10">
        <v>4.4400000000000004</v>
      </c>
      <c r="C32" s="10">
        <v>3.88</v>
      </c>
    </row>
    <row r="33" spans="1:3" x14ac:dyDescent="0.3">
      <c r="A33" s="10" t="s">
        <v>3</v>
      </c>
      <c r="B33" s="10">
        <v>3.9</v>
      </c>
      <c r="C33" s="10">
        <v>3.24</v>
      </c>
    </row>
    <row r="41" spans="1:3" x14ac:dyDescent="0.3">
      <c r="A41" s="15" t="s">
        <v>110</v>
      </c>
    </row>
    <row r="42" spans="1:3" x14ac:dyDescent="0.3">
      <c r="A42" s="15" t="s">
        <v>111</v>
      </c>
    </row>
    <row r="43" spans="1:3" x14ac:dyDescent="0.3">
      <c r="A43" s="9" t="s">
        <v>101</v>
      </c>
      <c r="B43" s="9" t="s">
        <v>91</v>
      </c>
      <c r="C43" s="9" t="s">
        <v>92</v>
      </c>
    </row>
    <row r="44" spans="1:3" x14ac:dyDescent="0.3">
      <c r="A44" s="10" t="s">
        <v>1</v>
      </c>
      <c r="B44" s="18">
        <f>Ratios!B10</f>
        <v>114.64307201732748</v>
      </c>
      <c r="C44" s="18">
        <f>Ratios!B11</f>
        <v>41.4176323823906</v>
      </c>
    </row>
    <row r="45" spans="1:3" x14ac:dyDescent="0.3">
      <c r="A45" s="10" t="s">
        <v>2</v>
      </c>
      <c r="B45" s="10">
        <v>85.93</v>
      </c>
      <c r="C45" s="10">
        <v>46.25</v>
      </c>
    </row>
    <row r="46" spans="1:3" x14ac:dyDescent="0.3">
      <c r="A46" s="10" t="s">
        <v>3</v>
      </c>
      <c r="B46" s="10">
        <v>91.96</v>
      </c>
      <c r="C46" s="10">
        <v>52.01</v>
      </c>
    </row>
    <row r="47" spans="1:3" x14ac:dyDescent="0.3">
      <c r="A47" s="15" t="s">
        <v>112</v>
      </c>
    </row>
    <row r="48" spans="1:3" x14ac:dyDescent="0.3">
      <c r="A48" s="9" t="s">
        <v>101</v>
      </c>
      <c r="B48" s="9" t="s">
        <v>93</v>
      </c>
    </row>
    <row r="49" spans="1:2" x14ac:dyDescent="0.3">
      <c r="A49" s="10" t="s">
        <v>1</v>
      </c>
      <c r="B49" s="18">
        <f>Ratios!B12</f>
        <v>1.1396875876905808</v>
      </c>
    </row>
    <row r="50" spans="1:2" x14ac:dyDescent="0.3">
      <c r="A50" s="10" t="s">
        <v>2</v>
      </c>
      <c r="B50" s="10">
        <v>1.47</v>
      </c>
    </row>
    <row r="51" spans="1:2" x14ac:dyDescent="0.3">
      <c r="A51" s="10" t="s">
        <v>3</v>
      </c>
      <c r="B51" s="10">
        <v>1.36</v>
      </c>
    </row>
    <row r="56" spans="1:2" x14ac:dyDescent="0.3">
      <c r="A56" s="15" t="s">
        <v>113</v>
      </c>
    </row>
    <row r="57" spans="1:2" x14ac:dyDescent="0.3">
      <c r="A57" s="15" t="s">
        <v>114</v>
      </c>
    </row>
    <row r="58" spans="1:2" x14ac:dyDescent="0.3">
      <c r="A58" s="9" t="s">
        <v>101</v>
      </c>
      <c r="B58" s="9" t="s">
        <v>94</v>
      </c>
    </row>
    <row r="59" spans="1:2" x14ac:dyDescent="0.3">
      <c r="A59" s="10" t="s">
        <v>1</v>
      </c>
      <c r="B59" s="24">
        <v>0.22589999999999999</v>
      </c>
    </row>
    <row r="60" spans="1:2" x14ac:dyDescent="0.3">
      <c r="A60" s="10" t="s">
        <v>2</v>
      </c>
      <c r="B60" s="24">
        <v>0.1067</v>
      </c>
    </row>
    <row r="61" spans="1:2" x14ac:dyDescent="0.3">
      <c r="A61" s="10" t="s">
        <v>3</v>
      </c>
      <c r="B61" s="24">
        <v>5.3800000000000001E-2</v>
      </c>
    </row>
    <row r="62" spans="1:2" x14ac:dyDescent="0.3">
      <c r="A62" s="25" t="s">
        <v>115</v>
      </c>
    </row>
    <row r="63" spans="1:2" x14ac:dyDescent="0.3">
      <c r="A63" s="9" t="s">
        <v>101</v>
      </c>
      <c r="B63" s="9" t="s">
        <v>95</v>
      </c>
    </row>
    <row r="64" spans="1:2" x14ac:dyDescent="0.3">
      <c r="A64" s="10" t="s">
        <v>1</v>
      </c>
      <c r="B64" s="10">
        <v>128.30000000000001</v>
      </c>
    </row>
    <row r="65" spans="1:4" x14ac:dyDescent="0.3">
      <c r="A65" s="10" t="s">
        <v>2</v>
      </c>
      <c r="B65" s="10">
        <v>329.77</v>
      </c>
    </row>
    <row r="66" spans="1:4" x14ac:dyDescent="0.3">
      <c r="A66" s="10" t="s">
        <v>3</v>
      </c>
      <c r="B66" s="10">
        <v>503.43</v>
      </c>
    </row>
    <row r="71" spans="1:4" x14ac:dyDescent="0.3">
      <c r="A71" s="15" t="s">
        <v>116</v>
      </c>
    </row>
    <row r="72" spans="1:4" x14ac:dyDescent="0.3">
      <c r="A72" s="9" t="s">
        <v>101</v>
      </c>
      <c r="B72" s="9" t="s">
        <v>104</v>
      </c>
      <c r="C72" s="9" t="s">
        <v>105</v>
      </c>
      <c r="D72" s="9" t="s">
        <v>106</v>
      </c>
    </row>
    <row r="73" spans="1:4" x14ac:dyDescent="0.3">
      <c r="A73" s="10" t="s">
        <v>1</v>
      </c>
      <c r="B73" s="11">
        <v>28090</v>
      </c>
      <c r="C73" s="11">
        <v>-10566</v>
      </c>
      <c r="D73" s="11">
        <v>-13633</v>
      </c>
    </row>
    <row r="74" spans="1:4" x14ac:dyDescent="0.3">
      <c r="A74" s="10" t="s">
        <v>2</v>
      </c>
      <c r="B74" s="11">
        <v>64089</v>
      </c>
      <c r="C74" s="11">
        <v>-20421</v>
      </c>
      <c r="D74" s="11">
        <v>-42359</v>
      </c>
    </row>
    <row r="75" spans="1:4" x14ac:dyDescent="0.3">
      <c r="A75" s="10" t="s">
        <v>3</v>
      </c>
      <c r="B75" s="11">
        <v>102718</v>
      </c>
      <c r="C75" s="11">
        <v>-52228</v>
      </c>
      <c r="D75" s="11">
        <v>-48474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Income Statement</vt:lpstr>
      <vt:lpstr>Balance Sheet</vt:lpstr>
      <vt:lpstr>Cash Flow</vt:lpstr>
      <vt:lpstr>Ratios</vt:lpstr>
      <vt:lpstr>Dashboard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Varthan</dc:creator>
  <cp:lastModifiedBy>Harsha Varthan</cp:lastModifiedBy>
  <dcterms:created xsi:type="dcterms:W3CDTF">2026-09-15T05:45:34Z</dcterms:created>
  <dcterms:modified xsi:type="dcterms:W3CDTF">2026-09-16T13:25:06Z</dcterms:modified>
</cp:coreProperties>
</file>